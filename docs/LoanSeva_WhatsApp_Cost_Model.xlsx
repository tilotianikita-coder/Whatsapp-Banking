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"/>
    <numFmt numFmtId="165" formatCode="&quot;₹&quot;#,##0.00"/>
  </numFmts>
  <fonts count="13">
    <font>
      <name val="Calibri"/>
      <family val="2"/>
      <color theme="1"/>
      <sz val="11"/>
      <scheme val="minor"/>
    </font>
    <font>
      <b val="1"/>
      <color rgb="00003874"/>
      <sz val="16"/>
    </font>
    <font>
      <i val="1"/>
      <color rgb="005F6368"/>
    </font>
    <font>
      <b val="1"/>
      <color rgb="00FFFFFF"/>
    </font>
    <font>
      <b val="1"/>
      <color rgb="00003874"/>
    </font>
    <font>
      <color rgb="005F6368"/>
      <sz val="9"/>
    </font>
    <font>
      <b val="1"/>
      <color rgb="001F2328"/>
    </font>
    <font/>
    <font>
      <b val="1"/>
      <color rgb="00003874"/>
      <sz val="12"/>
    </font>
    <font>
      <b val="1"/>
      <sz val="12"/>
    </font>
    <font>
      <b val="1"/>
    </font>
    <font>
      <b val="1"/>
      <color rgb="00ED1C24"/>
      <sz val="12"/>
    </font>
    <font>
      <color rgb="001F2328"/>
      <sz val="11"/>
    </font>
  </fonts>
  <fills count="7">
    <fill>
      <patternFill/>
    </fill>
    <fill>
      <patternFill patternType="gray125"/>
    </fill>
    <fill>
      <patternFill patternType="solid">
        <fgColor rgb="00003874"/>
      </patternFill>
    </fill>
    <fill>
      <patternFill patternType="solid">
        <fgColor rgb="00FFF4CC"/>
      </patternFill>
    </fill>
    <fill>
      <patternFill patternType="solid">
        <fgColor rgb="00E5F1FB"/>
      </patternFill>
    </fill>
    <fill>
      <patternFill patternType="solid">
        <fgColor rgb="00F3F4F6"/>
      </patternFill>
    </fill>
    <fill>
      <patternFill patternType="solid">
        <fgColor rgb="00E8F5EC"/>
      </patternFill>
    </fill>
  </fills>
  <borders count="2">
    <border>
      <left/>
      <right/>
      <top/>
      <bottom/>
      <diagonal/>
    </border>
    <border>
      <left style="thin">
        <color rgb="00C9CDD2"/>
      </left>
      <right style="thin">
        <color rgb="00C9CDD2"/>
      </right>
      <top style="thin">
        <color rgb="00C9CDD2"/>
      </top>
      <bottom style="thin">
        <color rgb="00C9CDD2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3" fontId="0" fillId="3" borderId="1" pivotButton="0" quotePrefix="0" xfId="0"/>
    <xf numFmtId="0" fontId="0" fillId="0" borderId="1" applyAlignment="1" pivotButton="0" quotePrefix="0" xfId="0">
      <alignment vertical="top" wrapText="1"/>
    </xf>
    <xf numFmtId="164" fontId="0" fillId="4" borderId="1" pivotButton="0" quotePrefix="0" xfId="0"/>
    <xf numFmtId="165" fontId="0" fillId="4" borderId="1" pivotButton="0" quotePrefix="0" xfId="0"/>
    <xf numFmtId="0" fontId="3" fillId="2" borderId="0" applyAlignment="1" pivotButton="0" quotePrefix="0" xfId="0">
      <alignment vertical="center" wrapText="1"/>
    </xf>
    <xf numFmtId="0" fontId="4" fillId="5" borderId="0" pivotButton="0" quotePrefix="0" xfId="0"/>
    <xf numFmtId="0" fontId="0" fillId="5" borderId="0" pivotButton="0" quotePrefix="0" xfId="0"/>
    <xf numFmtId="164" fontId="0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164" fontId="7" fillId="6" borderId="1" pivotButton="0" quotePrefix="0" xfId="0"/>
    <xf numFmtId="0" fontId="8" fillId="0" borderId="0" pivotButton="0" quotePrefix="0" xfId="0"/>
    <xf numFmtId="164" fontId="9" fillId="6" borderId="1" pivotButton="0" quotePrefix="0" xfId="0"/>
    <xf numFmtId="0" fontId="10" fillId="0" borderId="0" pivotButton="0" quotePrefix="0" xfId="0"/>
    <xf numFmtId="0" fontId="11" fillId="0" borderId="0" pivotButton="0" quotePrefix="0" xfId="0"/>
    <xf numFmtId="164" fontId="11" fillId="0" borderId="1" pivotButton="0" quotePrefix="0" xfId="0"/>
    <xf numFmtId="0" fontId="4" fillId="0" borderId="0" pivotButton="0" quotePrefix="0" xfId="0"/>
    <xf numFmtId="9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62" customWidth="1" min="4" max="4"/>
  </cols>
  <sheetData>
    <row r="1">
      <c r="A1" s="1" t="inlineStr">
        <is>
          <t>LoanSeva WhatsApp banking: cost model inputs</t>
        </is>
      </c>
    </row>
    <row r="2">
      <c r="A2" s="2" t="inlineStr">
        <is>
          <t>Yellow = volumes (example values, replace with Kotak's). Blue = prices (blank: fill in from the Salesforce quote and the Gupshup contract). All amounts in INR.</t>
        </is>
      </c>
    </row>
    <row r="4">
      <c r="A4" s="3" t="inlineStr">
        <is>
          <t>Volumes (loan journey only)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Notes</t>
        </is>
      </c>
    </row>
    <row r="5">
      <c r="A5" s="4" t="inlineStr">
        <is>
          <t>Contract term</t>
        </is>
      </c>
      <c r="B5" s="5" t="n">
        <v>12</v>
      </c>
      <c r="C5" s="4" t="inlineStr">
        <is>
          <t>months</t>
        </is>
      </c>
      <c r="D5" s="6" t="inlineStr">
        <is>
          <t>Used to annualise monthly costs</t>
        </is>
      </c>
    </row>
    <row r="6">
      <c r="A6" s="4" t="inlineStr">
        <is>
          <t>RMs using the LOS and RM callback queue</t>
        </is>
      </c>
      <c r="B6" s="5" t="n">
        <v>50</v>
      </c>
      <c r="C6" s="4" t="inlineStr">
        <is>
          <t>users</t>
        </is>
      </c>
      <c r="D6" s="6" t="inlineStr">
        <is>
          <t>Need a Service Cloud / Financial Services Cloud seat in every option</t>
        </is>
      </c>
    </row>
    <row r="7">
      <c r="A7" s="4" t="inlineStr">
        <is>
          <t>Of those, RMs who take live WhatsApp chats</t>
        </is>
      </c>
      <c r="B7" s="5" t="n">
        <v>20</v>
      </c>
      <c r="C7" s="4" t="inlineStr">
        <is>
          <t>users</t>
        </is>
      </c>
      <c r="D7" s="6" t="inlineStr">
        <is>
          <t>Need the messaging add-on (1a, 2) or a Gupshup inbox seat (1b)</t>
        </is>
      </c>
    </row>
    <row r="8">
      <c r="A8" s="4" t="inlineStr">
        <is>
          <t>WhatsApp loan conversations per month</t>
        </is>
      </c>
      <c r="B8" s="5" t="n">
        <v>20000</v>
      </c>
      <c r="C8" s="4" t="inlineStr">
        <is>
          <t>chats</t>
        </is>
      </c>
      <c r="D8" s="6" t="inlineStr">
        <is>
          <t>Every conversation the Agentforce agent handles</t>
        </is>
      </c>
    </row>
    <row r="9">
      <c r="A9" s="4" t="inlineStr">
        <is>
          <t>Agent actions per conversation</t>
        </is>
      </c>
      <c r="B9" s="5" t="n">
        <v>12</v>
      </c>
      <c r="C9" s="4" t="inlineStr">
        <is>
          <t>actions</t>
        </is>
      </c>
      <c r="D9" s="6" t="inlineStr">
        <is>
          <t>LoanSeva calls one action per customer reply; a Top-Up is roughly 10-15 replies</t>
        </is>
      </c>
    </row>
    <row r="10">
      <c r="A10" s="4" t="inlineStr">
        <is>
          <t>Paid marketing templates per month</t>
        </is>
      </c>
      <c r="B10" s="5" t="n">
        <v>30000</v>
      </c>
      <c r="C10" s="4" t="inlineStr">
        <is>
          <t>messages</t>
        </is>
      </c>
      <c r="D10" s="6" t="inlineStr">
        <is>
          <t>Top-Up campaign invites (business-initiated)</t>
        </is>
      </c>
    </row>
    <row r="11">
      <c r="A11" s="4" t="inlineStr">
        <is>
          <t>Paid utility templates per month</t>
        </is>
      </c>
      <c r="B11" s="5" t="n">
        <v>8000</v>
      </c>
      <c r="C11" s="4" t="inlineStr">
        <is>
          <t>messages</t>
        </is>
      </c>
      <c r="D11" s="6" t="inlineStr">
        <is>
          <t>Nudges / updates sent outside the 24-hour customer window</t>
        </is>
      </c>
    </row>
    <row r="12">
      <c r="A12" s="4" t="inlineStr">
        <is>
          <t>Paid authentication templates per month</t>
        </is>
      </c>
      <c r="B12" s="5" t="n">
        <v>0</v>
      </c>
      <c r="C12" s="4" t="inlineStr">
        <is>
          <t>messages</t>
        </is>
      </c>
      <c r="D12" s="6" t="inlineStr">
        <is>
          <t>OTP over WhatsApp, if used (PoC uses a demo OTP)</t>
        </is>
      </c>
    </row>
    <row r="14">
      <c r="A14" s="3" t="inlineStr">
        <is>
          <t>Salesforce prices</t>
        </is>
      </c>
      <c r="B14" s="3" t="inlineStr">
        <is>
          <t>Value</t>
        </is>
      </c>
      <c r="C14" s="3" t="inlineStr">
        <is>
          <t>Unit</t>
        </is>
      </c>
      <c r="D14" s="3" t="inlineStr">
        <is>
          <t>Notes</t>
        </is>
      </c>
    </row>
    <row r="15">
      <c r="A15" s="4" t="inlineStr">
        <is>
          <t>Service Cloud / FSC licence</t>
        </is>
      </c>
      <c r="B15" s="7" t="n"/>
      <c r="C15" s="4" t="inlineStr">
        <is>
          <t>per user / month</t>
        </is>
      </c>
      <c r="D15" s="6" t="inlineStr">
        <is>
          <t>Edition per the quote (e.g. FSC Enterprise / Unlimited)</t>
        </is>
      </c>
    </row>
    <row r="16">
      <c r="A16" s="4" t="inlineStr">
        <is>
          <t>Messaging add-on (Digital Engagement)</t>
        </is>
      </c>
      <c r="B16" s="7" t="n"/>
      <c r="C16" s="4" t="inlineStr">
        <is>
          <t>per user / month</t>
        </is>
      </c>
      <c r="D16" s="6" t="inlineStr">
        <is>
          <t>Options 1a and 2 only; confirm SKU and whether BYOC is included</t>
        </is>
      </c>
    </row>
    <row r="17">
      <c r="A17" s="4" t="inlineStr">
        <is>
          <t>BYOC usage charge, if any</t>
        </is>
      </c>
      <c r="B17" s="8" t="n"/>
      <c r="C17" s="4" t="inlineStr">
        <is>
          <t>per conversation</t>
        </is>
      </c>
      <c r="D17" s="6" t="inlineStr">
        <is>
          <t>Option 1a only; confirm whether BYOC is metered</t>
        </is>
      </c>
    </row>
    <row r="18">
      <c r="A18" s="4" t="inlineStr">
        <is>
          <t>Agentforce price per action</t>
        </is>
      </c>
      <c r="B18" s="8" t="n"/>
      <c r="C18" s="4" t="inlineStr">
        <is>
          <t>per action</t>
        </is>
      </c>
      <c r="D18" s="6" t="inlineStr">
        <is>
          <t>Flex Credits rate per the quote; use per-conversation pricing by setting actions = 1</t>
        </is>
      </c>
    </row>
    <row r="19">
      <c r="A19" s="4" t="inlineStr">
        <is>
          <t>Salesforce messaging charge (excl. Meta fee)</t>
        </is>
      </c>
      <c r="B19" s="8" t="n"/>
      <c r="C19" s="4" t="inlineStr">
        <is>
          <t>per paid message</t>
        </is>
      </c>
      <c r="D19" s="6" t="inlineStr">
        <is>
          <t>Option 2 only; Salesforce message pack price minus the Meta pass-through</t>
        </is>
      </c>
    </row>
    <row r="20">
      <c r="A20" s="4" t="inlineStr">
        <is>
          <t>MuleSoft</t>
        </is>
      </c>
      <c r="B20" s="7" t="n"/>
      <c r="C20" s="4" t="inlineStr">
        <is>
          <t>per year</t>
        </is>
      </c>
      <c r="D20" s="6" t="inlineStr">
        <is>
          <t>Core banking, bureau, KYC, Perfios, e-sign APIs</t>
        </is>
      </c>
    </row>
    <row r="21">
      <c r="A21" s="4" t="inlineStr">
        <is>
          <t>Data Cloud</t>
        </is>
      </c>
      <c r="B21" s="7" t="n"/>
      <c r="C21" s="4" t="inlineStr">
        <is>
          <t>per year</t>
        </is>
      </c>
      <c r="D21" s="6" t="inlineStr">
        <is>
          <t>Phase 3; set 0 to exclude</t>
        </is>
      </c>
    </row>
    <row r="22">
      <c r="A22" s="4" t="inlineStr">
        <is>
          <t>Shield (encryption, event monitoring)</t>
        </is>
      </c>
      <c r="B22" s="7" t="n"/>
      <c r="C22" s="4" t="inlineStr">
        <is>
          <t>per year</t>
        </is>
      </c>
      <c r="D22" s="6" t="inlineStr">
        <is>
          <t>Usually required by banks</t>
        </is>
      </c>
    </row>
    <row r="23">
      <c r="A23" s="4" t="inlineStr">
        <is>
          <t>Experience Cloud (registration page)</t>
        </is>
      </c>
      <c r="B23" s="7" t="n"/>
      <c r="C23" s="4" t="inlineStr">
        <is>
          <t>per year</t>
        </is>
      </c>
      <c r="D23" s="6" t="inlineStr">
        <is>
          <t>Small; set 0 if covered elsewhere</t>
        </is>
      </c>
    </row>
    <row r="25">
      <c r="A25" s="3" t="inlineStr">
        <is>
          <t>Meta WhatsApp fees (same in every option)</t>
        </is>
      </c>
      <c r="B25" s="3" t="inlineStr">
        <is>
          <t>Value</t>
        </is>
      </c>
      <c r="C25" s="3" t="inlineStr">
        <is>
          <t>Unit</t>
        </is>
      </c>
      <c r="D25" s="3" t="inlineStr">
        <is>
          <t>Notes</t>
        </is>
      </c>
    </row>
    <row r="26">
      <c r="A26" s="4" t="inlineStr">
        <is>
          <t>Meta fee: marketing template</t>
        </is>
      </c>
      <c r="B26" s="8" t="n"/>
      <c r="C26" s="4" t="inlineStr">
        <is>
          <t>per message</t>
        </is>
      </c>
      <c r="D26" s="6" t="inlineStr">
        <is>
          <t>Meta India rate card</t>
        </is>
      </c>
    </row>
    <row r="27">
      <c r="A27" s="4" t="inlineStr">
        <is>
          <t>Meta fee: utility template</t>
        </is>
      </c>
      <c r="B27" s="8" t="n"/>
      <c r="C27" s="4" t="inlineStr">
        <is>
          <t>per message</t>
        </is>
      </c>
      <c r="D27" s="6" t="inlineStr">
        <is>
          <t>Free inside the 24-hour customer window</t>
        </is>
      </c>
    </row>
    <row r="28">
      <c r="A28" s="4" t="inlineStr">
        <is>
          <t>Meta fee: authentication template</t>
        </is>
      </c>
      <c r="B28" s="8" t="n"/>
      <c r="C28" s="4" t="inlineStr">
        <is>
          <t>per message</t>
        </is>
      </c>
      <c r="D28" s="6" t="inlineStr">
        <is>
          <t>Meta India rate card</t>
        </is>
      </c>
    </row>
    <row r="30">
      <c r="A30" s="3" t="inlineStr">
        <is>
          <t>Gupshup prices (loan traffic only)</t>
        </is>
      </c>
      <c r="B30" s="3" t="inlineStr">
        <is>
          <t>Value</t>
        </is>
      </c>
      <c r="C30" s="3" t="inlineStr">
        <is>
          <t>Unit</t>
        </is>
      </c>
      <c r="D30" s="3" t="inlineStr">
        <is>
          <t>Notes</t>
        </is>
      </c>
    </row>
    <row r="31">
      <c r="A31" s="4" t="inlineStr">
        <is>
          <t>Gupshup markup on top of the Meta fee</t>
        </is>
      </c>
      <c r="B31" s="8" t="n"/>
      <c r="C31" s="4" t="inlineStr">
        <is>
          <t>per paid message</t>
        </is>
      </c>
      <c r="D31" s="6" t="inlineStr">
        <is>
          <t>Options 1a and 1b; option 2 loan traffic bypasses Gupshup</t>
        </is>
      </c>
    </row>
    <row r="32">
      <c r="A32" s="4" t="inlineStr">
        <is>
          <t>Gupshup platform fee for the loan journey</t>
        </is>
      </c>
      <c r="B32" s="7" t="n"/>
      <c r="C32" s="4" t="inlineStr">
        <is>
          <t>per month</t>
        </is>
      </c>
      <c r="D32" s="6" t="inlineStr">
        <is>
          <t>Incremental fee for loans traffic; the main number's existing fees are the same in all options and left out</t>
        </is>
      </c>
    </row>
    <row r="33">
      <c r="A33" s="4" t="inlineStr">
        <is>
          <t>Gupshup hand-over to Salesforce</t>
        </is>
      </c>
      <c r="B33" s="7" t="n"/>
      <c r="C33" s="4" t="inlineStr">
        <is>
          <t>per month</t>
        </is>
      </c>
      <c r="D33" s="6" t="inlineStr">
        <is>
          <t>Option 1a: forwarding loan conversations via BYOC</t>
        </is>
      </c>
    </row>
    <row r="34">
      <c r="A34" s="4" t="inlineStr">
        <is>
          <t>Gupshup agent-inbox seat</t>
        </is>
      </c>
      <c r="B34" s="7" t="n"/>
      <c r="C34" s="4" t="inlineStr">
        <is>
          <t>per user / month</t>
        </is>
      </c>
      <c r="D34" s="6" t="inlineStr">
        <is>
          <t>Option 1b: RMs take live chats in Gupshup, not Salesforce</t>
        </is>
      </c>
    </row>
    <row r="36">
      <c r="A36" s="3" t="inlineStr">
        <is>
          <t>One-off costs</t>
        </is>
      </c>
      <c r="B36" s="3" t="inlineStr">
        <is>
          <t>Value</t>
        </is>
      </c>
      <c r="C36" s="3" t="inlineStr">
        <is>
          <t>Unit</t>
        </is>
      </c>
      <c r="D36" s="3" t="inlineStr">
        <is>
          <t>Notes</t>
        </is>
      </c>
    </row>
    <row r="37">
      <c r="A37" s="4" t="inlineStr">
        <is>
          <t>Option 1a: Gupshup hand-over / hand-back build</t>
        </is>
      </c>
      <c r="B37" s="7" t="n"/>
      <c r="C37" s="4" t="inlineStr">
        <is>
          <t>one-off</t>
        </is>
      </c>
      <c r="D37" s="6" t="inlineStr">
        <is>
          <t>Loan-intent routing to BYOC and back</t>
        </is>
      </c>
    </row>
    <row r="38">
      <c r="A38" s="4" t="inlineStr">
        <is>
          <t>Option 1b: Gupshup Agent API integration build</t>
        </is>
      </c>
      <c r="B38" s="7" t="n"/>
      <c r="C38" s="4" t="inlineStr">
        <is>
          <t>one-off</t>
        </is>
      </c>
      <c r="D38" s="6" t="inlineStr">
        <is>
          <t>Gupshup calls the Agentforce Agent API</t>
        </is>
      </c>
    </row>
    <row r="39">
      <c r="A39" s="4" t="inlineStr">
        <is>
          <t>Option 2: second number setup</t>
        </is>
      </c>
      <c r="B39" s="7" t="n"/>
      <c r="C39" s="4" t="inlineStr">
        <is>
          <t>one-off</t>
        </is>
      </c>
      <c r="D39" s="6" t="inlineStr">
        <is>
          <t>Number, display-name verification, template approvals, launch comms</t>
        </is>
      </c>
    </row>
    <row r="40">
      <c r="A40" s="4" t="inlineStr">
        <is>
          <t>Salesforce implementation (all options)</t>
        </is>
      </c>
      <c r="B40" s="7" t="n"/>
      <c r="C40" s="4" t="inlineStr">
        <is>
          <t>one-off</t>
        </is>
      </c>
      <c r="D40" s="6" t="inlineStr">
        <is>
          <t>Agent, journeys, LOS, integrations; same in every option</t>
        </is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2" customWidth="1" min="5" max="5"/>
    <col width="58" customWidth="1" min="6" max="6"/>
  </cols>
  <sheetData>
    <row r="1">
      <c r="A1" s="1" t="inlineStr">
        <is>
          <t>Annual cost by option (loan journey)</t>
        </is>
      </c>
    </row>
    <row r="2">
      <c r="A2" s="2" t="inlineStr">
        <is>
          <t>Calculated from the Inputs sheet. Shows 0 until prices are filled in.</t>
        </is>
      </c>
    </row>
    <row r="4" ht="32" customHeight="1">
      <c r="A4" s="9" t="inlineStr">
        <is>
          <t>Cost line</t>
        </is>
      </c>
      <c r="B4" s="9" t="inlineStr">
        <is>
          <t>1a: Gupshup + BYOC</t>
        </is>
      </c>
      <c r="C4" s="9" t="inlineStr">
        <is>
          <t>1b: Gupshup + Agent API</t>
        </is>
      </c>
      <c r="D4" s="9" t="inlineStr">
        <is>
          <t>2: Salesforce native</t>
        </is>
      </c>
      <c r="E4" s="9" t="inlineStr">
        <is>
          <t>Billed by</t>
        </is>
      </c>
      <c r="F4" s="9" t="inlineStr">
        <is>
          <t>How it is calculated</t>
        </is>
      </c>
    </row>
    <row r="5">
      <c r="A5" s="10" t="inlineStr">
        <is>
          <t>Salesforce</t>
        </is>
      </c>
      <c r="B5" s="11" t="n"/>
      <c r="C5" s="11" t="n"/>
      <c r="D5" s="11" t="n"/>
      <c r="E5" s="11" t="n"/>
      <c r="F5" s="11" t="n"/>
    </row>
    <row r="6">
      <c r="A6" s="4" t="inlineStr">
        <is>
          <t>RM seats (Service Cloud / FSC)</t>
        </is>
      </c>
      <c r="B6" s="12">
        <f>Inputs!$B$6*Inputs!$B$15*Inputs!$B$5</f>
        <v/>
      </c>
      <c r="C6" s="12">
        <f>Inputs!$B$6*Inputs!$B$15*Inputs!$B$5</f>
        <v/>
      </c>
      <c r="D6" s="12">
        <f>Inputs!$B$6*Inputs!$B$15*Inputs!$B$5</f>
        <v/>
      </c>
      <c r="E6" s="4" t="inlineStr">
        <is>
          <t>Salesforce</t>
        </is>
      </c>
      <c r="F6" s="13" t="inlineStr">
        <is>
          <t>RMs using the LOS × licence × months</t>
        </is>
      </c>
    </row>
    <row r="7">
      <c r="A7" s="4" t="inlineStr">
        <is>
          <t>Messaging add-on for live-chat RMs</t>
        </is>
      </c>
      <c r="B7" s="12">
        <f>Inputs!$B$7*Inputs!$B$16*Inputs!$B$5</f>
        <v/>
      </c>
      <c r="C7" s="12">
        <f>0</f>
        <v/>
      </c>
      <c r="D7" s="12">
        <f>Inputs!$B$7*Inputs!$B$16*Inputs!$B$5</f>
        <v/>
      </c>
      <c r="E7" s="4" t="inlineStr">
        <is>
          <t>Salesforce</t>
        </is>
      </c>
      <c r="F7" s="13" t="inlineStr">
        <is>
          <t>Live-chat RMs × add-on × months (not needed in 1b)</t>
        </is>
      </c>
    </row>
    <row r="8">
      <c r="A8" s="4" t="inlineStr">
        <is>
          <t>BYOC usage</t>
        </is>
      </c>
      <c r="B8" s="12">
        <f>Inputs!$B$8*Inputs!$B$17*Inputs!$B$5</f>
        <v/>
      </c>
      <c r="C8" s="12">
        <f>0</f>
        <v/>
      </c>
      <c r="D8" s="12">
        <f>0</f>
        <v/>
      </c>
      <c r="E8" s="4" t="inlineStr">
        <is>
          <t>Salesforce</t>
        </is>
      </c>
      <c r="F8" s="13" t="inlineStr">
        <is>
          <t>Conversations × BYOC charge × months (1a only, if metered)</t>
        </is>
      </c>
    </row>
    <row r="9">
      <c r="A9" s="4" t="inlineStr">
        <is>
          <t>Agentforce usage</t>
        </is>
      </c>
      <c r="B9" s="12">
        <f>Inputs!$B$8*Inputs!$B$9*Inputs!$B$18*Inputs!$B$5</f>
        <v/>
      </c>
      <c r="C9" s="12">
        <f>Inputs!$B$8*Inputs!$B$9*Inputs!$B$18*Inputs!$B$5</f>
        <v/>
      </c>
      <c r="D9" s="12">
        <f>Inputs!$B$8*Inputs!$B$9*Inputs!$B$18*Inputs!$B$5</f>
        <v/>
      </c>
      <c r="E9" s="4" t="inlineStr">
        <is>
          <t>Salesforce</t>
        </is>
      </c>
      <c r="F9" s="13" t="inlineStr">
        <is>
          <t>Conversations × actions × price per action × months</t>
        </is>
      </c>
    </row>
    <row r="10">
      <c r="A10" s="4" t="inlineStr">
        <is>
          <t>Salesforce messaging charge (loan number)</t>
        </is>
      </c>
      <c r="B10" s="12">
        <f>0</f>
        <v/>
      </c>
      <c r="C10" s="12">
        <f>0</f>
        <v/>
      </c>
      <c r="D10" s="12">
        <f>(Inputs!$B$10+Inputs!$B$11+Inputs!$B$12)*Inputs!$B$19*Inputs!$B$5</f>
        <v/>
      </c>
      <c r="E10" s="4" t="inlineStr">
        <is>
          <t>Salesforce</t>
        </is>
      </c>
      <c r="F10" s="13" t="inlineStr">
        <is>
          <t>Paid messages × Salesforce charge × months (option 2 only)</t>
        </is>
      </c>
    </row>
    <row r="11">
      <c r="A11" s="4" t="inlineStr">
        <is>
          <t>MuleSoft</t>
        </is>
      </c>
      <c r="B11" s="12">
        <f>Inputs!$B$20*Inputs!$B$5/12</f>
        <v/>
      </c>
      <c r="C11" s="12">
        <f>Inputs!$B$20*Inputs!$B$5/12</f>
        <v/>
      </c>
      <c r="D11" s="12">
        <f>Inputs!$B$20*Inputs!$B$5/12</f>
        <v/>
      </c>
      <c r="E11" s="4" t="inlineStr">
        <is>
          <t>Salesforce</t>
        </is>
      </c>
      <c r="F11" s="13" t="inlineStr">
        <is>
          <t>Annual price, pro rata to the term</t>
        </is>
      </c>
    </row>
    <row r="12">
      <c r="A12" s="4" t="inlineStr">
        <is>
          <t>Data Cloud</t>
        </is>
      </c>
      <c r="B12" s="12">
        <f>Inputs!$B$21*Inputs!$B$5/12</f>
        <v/>
      </c>
      <c r="C12" s="12">
        <f>Inputs!$B$21*Inputs!$B$5/12</f>
        <v/>
      </c>
      <c r="D12" s="12">
        <f>Inputs!$B$21*Inputs!$B$5/12</f>
        <v/>
      </c>
      <c r="E12" s="4" t="inlineStr">
        <is>
          <t>Salesforce</t>
        </is>
      </c>
      <c r="F12" s="13" t="inlineStr">
        <is>
          <t>Annual price, pro rata to the term</t>
        </is>
      </c>
    </row>
    <row r="13">
      <c r="A13" s="4" t="inlineStr">
        <is>
          <t>Shield</t>
        </is>
      </c>
      <c r="B13" s="12">
        <f>Inputs!$B$22*Inputs!$B$5/12</f>
        <v/>
      </c>
      <c r="C13" s="12">
        <f>Inputs!$B$22*Inputs!$B$5/12</f>
        <v/>
      </c>
      <c r="D13" s="12">
        <f>Inputs!$B$22*Inputs!$B$5/12</f>
        <v/>
      </c>
      <c r="E13" s="4" t="inlineStr">
        <is>
          <t>Salesforce</t>
        </is>
      </c>
      <c r="F13" s="13" t="inlineStr">
        <is>
          <t>Annual price, pro rata to the term</t>
        </is>
      </c>
    </row>
    <row r="14">
      <c r="A14" s="4" t="inlineStr">
        <is>
          <t>Experience Cloud</t>
        </is>
      </c>
      <c r="B14" s="12">
        <f>Inputs!$B$23*Inputs!$B$5/12</f>
        <v/>
      </c>
      <c r="C14" s="12">
        <f>Inputs!$B$23*Inputs!$B$5/12</f>
        <v/>
      </c>
      <c r="D14" s="12">
        <f>Inputs!$B$23*Inputs!$B$5/12</f>
        <v/>
      </c>
      <c r="E14" s="4" t="inlineStr">
        <is>
          <t>Salesforce</t>
        </is>
      </c>
      <c r="F14" s="13" t="inlineStr">
        <is>
          <t>Annual price, pro rata to the term</t>
        </is>
      </c>
    </row>
    <row r="15">
      <c r="A15" s="10" t="inlineStr">
        <is>
          <t>Gupshup</t>
        </is>
      </c>
      <c r="B15" s="11" t="n"/>
      <c r="C15" s="11" t="n"/>
      <c r="D15" s="11" t="n"/>
      <c r="E15" s="11" t="n"/>
      <c r="F15" s="11" t="n"/>
    </row>
    <row r="16">
      <c r="A16" s="4" t="inlineStr">
        <is>
          <t>Gupshup markup on paid messages</t>
        </is>
      </c>
      <c r="B16" s="12">
        <f>(Inputs!$B$10+Inputs!$B$11+Inputs!$B$12)*Inputs!$B$31*Inputs!$B$5</f>
        <v/>
      </c>
      <c r="C16" s="12">
        <f>(Inputs!$B$10+Inputs!$B$11+Inputs!$B$12)*Inputs!$B$31*Inputs!$B$5</f>
        <v/>
      </c>
      <c r="D16" s="12">
        <f>0</f>
        <v/>
      </c>
      <c r="E16" s="4" t="inlineStr">
        <is>
          <t>Gupshup</t>
        </is>
      </c>
      <c r="F16" s="13" t="inlineStr">
        <is>
          <t>Paid messages × markup × months (loan traffic leaves Gupshup in option 2)</t>
        </is>
      </c>
    </row>
    <row r="17">
      <c r="A17" s="4" t="inlineStr">
        <is>
          <t>Gupshup platform fee (loan journey)</t>
        </is>
      </c>
      <c r="B17" s="12">
        <f>Inputs!$B$32*Inputs!$B$5</f>
        <v/>
      </c>
      <c r="C17" s="12">
        <f>Inputs!$B$32*Inputs!$B$5</f>
        <v/>
      </c>
      <c r="D17" s="12">
        <f>0</f>
        <v/>
      </c>
      <c r="E17" s="4" t="inlineStr">
        <is>
          <t>Gupshup</t>
        </is>
      </c>
      <c r="F17" s="13" t="inlineStr">
        <is>
          <t>Monthly fee × months</t>
        </is>
      </c>
    </row>
    <row r="18">
      <c r="A18" s="4" t="inlineStr">
        <is>
          <t>Gupshup hand-over to Salesforce</t>
        </is>
      </c>
      <c r="B18" s="12">
        <f>Inputs!$B$33*Inputs!$B$5</f>
        <v/>
      </c>
      <c r="C18" s="12">
        <f>0</f>
        <v/>
      </c>
      <c r="D18" s="12">
        <f>0</f>
        <v/>
      </c>
      <c r="E18" s="4" t="inlineStr">
        <is>
          <t>Gupshup</t>
        </is>
      </c>
      <c r="F18" s="13" t="inlineStr">
        <is>
          <t>Monthly fee × months (1a only)</t>
        </is>
      </c>
    </row>
    <row r="19">
      <c r="A19" s="4" t="inlineStr">
        <is>
          <t>Gupshup agent-inbox seats</t>
        </is>
      </c>
      <c r="B19" s="12">
        <f>0</f>
        <v/>
      </c>
      <c r="C19" s="12">
        <f>Inputs!$B$7*Inputs!$B$34*Inputs!$B$5</f>
        <v/>
      </c>
      <c r="D19" s="12">
        <f>0</f>
        <v/>
      </c>
      <c r="E19" s="4" t="inlineStr">
        <is>
          <t>Gupshup</t>
        </is>
      </c>
      <c r="F19" s="13" t="inlineStr">
        <is>
          <t>Live-chat RMs × seat × months (1b only)</t>
        </is>
      </c>
    </row>
    <row r="20">
      <c r="A20" s="10" t="inlineStr">
        <is>
          <t>Meta</t>
        </is>
      </c>
      <c r="B20" s="11" t="n"/>
      <c r="C20" s="11" t="n"/>
      <c r="D20" s="11" t="n"/>
      <c r="E20" s="11" t="n"/>
      <c r="F20" s="11" t="n"/>
    </row>
    <row r="21">
      <c r="A21" s="4" t="inlineStr">
        <is>
          <t>Meta WhatsApp fees</t>
        </is>
      </c>
      <c r="B21" s="12">
        <f>(Inputs!$B$10*Inputs!$B$26+Inputs!$B$11*Inputs!$B$27+Inputs!$B$12*Inputs!$B$28)*Inputs!$B$5</f>
        <v/>
      </c>
      <c r="C21" s="12">
        <f>(Inputs!$B$10*Inputs!$B$26+Inputs!$B$11*Inputs!$B$27+Inputs!$B$12*Inputs!$B$28)*Inputs!$B$5</f>
        <v/>
      </c>
      <c r="D21" s="12">
        <f>(Inputs!$B$10*Inputs!$B$26+Inputs!$B$11*Inputs!$B$27+Inputs!$B$12*Inputs!$B$28)*Inputs!$B$5</f>
        <v/>
      </c>
      <c r="E21" s="4" t="inlineStr">
        <is>
          <t>Meta via provider</t>
        </is>
      </c>
      <c r="F21" s="13" t="inlineStr">
        <is>
          <t>Same in every option; passed through by Gupshup (1a, 1b) or Salesforce (2)</t>
        </is>
      </c>
    </row>
    <row r="23">
      <c r="A23" s="14" t="inlineStr">
        <is>
          <t>Salesforce recurring</t>
        </is>
      </c>
      <c r="B23" s="15">
        <f>B6+B7+B8+B9+B10+B11+B12+B13+B14</f>
        <v/>
      </c>
      <c r="C23" s="15">
        <f>C6+C7+C8+C9+C10+C11+C12+C13+C14</f>
        <v/>
      </c>
      <c r="D23" s="15">
        <f>D6+D7+D8+D9+D10+D11+D12+D13+D14</f>
        <v/>
      </c>
    </row>
    <row r="24">
      <c r="A24" s="14" t="inlineStr">
        <is>
          <t>Gupshup recurring</t>
        </is>
      </c>
      <c r="B24" s="15">
        <f>B16+B17+B18+B19</f>
        <v/>
      </c>
      <c r="C24" s="15">
        <f>C16+C17+C18+C19</f>
        <v/>
      </c>
      <c r="D24" s="15">
        <f>D16+D17+D18+D19</f>
        <v/>
      </c>
    </row>
    <row r="25">
      <c r="A25" s="14" t="inlineStr">
        <is>
          <t>Meta fees</t>
        </is>
      </c>
      <c r="B25" s="15">
        <f>B21</f>
        <v/>
      </c>
      <c r="C25" s="15">
        <f>C21</f>
        <v/>
      </c>
      <c r="D25" s="15">
        <f>D21</f>
        <v/>
      </c>
    </row>
    <row r="26">
      <c r="A26" s="16" t="inlineStr">
        <is>
          <t>Total recurring for the term</t>
        </is>
      </c>
      <c r="B26" s="17">
        <f>B23+B24+B25</f>
        <v/>
      </c>
      <c r="C26" s="17">
        <f>C23+C24+C25</f>
        <v/>
      </c>
      <c r="D26" s="17">
        <f>D23+D24+D25</f>
        <v/>
      </c>
    </row>
    <row r="27">
      <c r="A27" s="18" t="inlineStr">
        <is>
          <t>One-off costs</t>
        </is>
      </c>
      <c r="B27" s="12">
        <f>Inputs!$B$37+Inputs!$B$40</f>
        <v/>
      </c>
      <c r="C27" s="12">
        <f>Inputs!$B$38+Inputs!$B$40</f>
        <v/>
      </c>
      <c r="D27" s="12">
        <f>Inputs!$B$39+Inputs!$B$40</f>
        <v/>
      </c>
    </row>
    <row r="28">
      <c r="A28" s="19" t="inlineStr">
        <is>
          <t>Year-1 total (recurring + one-off)</t>
        </is>
      </c>
      <c r="B28" s="20">
        <f>B26+B27</f>
        <v/>
      </c>
      <c r="C28" s="20">
        <f>C26+C27</f>
        <v/>
      </c>
      <c r="D28" s="20">
        <f>D26+D27</f>
        <v/>
      </c>
    </row>
    <row r="30">
      <c r="A30" s="21" t="inlineStr">
        <is>
          <t>Share of the recurring spend</t>
        </is>
      </c>
    </row>
    <row r="31">
      <c r="A31" t="inlineStr">
        <is>
          <t>Salesforce share</t>
        </is>
      </c>
      <c r="B31" s="22">
        <f>IF(B26=0,0,B23/B26)</f>
        <v/>
      </c>
      <c r="C31" s="22">
        <f>IF(C26=0,0,C23/C26)</f>
        <v/>
      </c>
      <c r="D31" s="22">
        <f>IF(D26=0,0,D23/D26)</f>
        <v/>
      </c>
    </row>
    <row r="32">
      <c r="A32" t="inlineStr">
        <is>
          <t>Gupshup share</t>
        </is>
      </c>
      <c r="B32" s="22">
        <f>IF(B26=0,0,B24/B26)</f>
        <v/>
      </c>
      <c r="C32" s="22">
        <f>IF(C26=0,0,C24/C26)</f>
        <v/>
      </c>
      <c r="D32" s="22">
        <f>IF(D26=0,0,D24/D26)</f>
        <v/>
      </c>
    </row>
    <row r="33">
      <c r="A33" t="inlineStr">
        <is>
          <t>Meta share</t>
        </is>
      </c>
      <c r="B33" s="22">
        <f>IF(B26=0,0,B25/B26)</f>
        <v/>
      </c>
      <c r="C33" s="22">
        <f>IF(C26=0,0,C25/C26)</f>
        <v/>
      </c>
      <c r="D33" s="22">
        <f>IF(D26=0,0,D25/D26)</f>
        <v/>
      </c>
    </row>
    <row r="34">
      <c r="A34" t="inlineStr">
        <is>
          <t>Cost per loan conversation (recurring)</t>
        </is>
      </c>
      <c r="B34" s="23">
        <f>IF(Inputs!$B$8*Inputs!$B$5=0,0,B26/(Inputs!$B$8*Inputs!$B$5))</f>
        <v/>
      </c>
      <c r="C34" s="23">
        <f>IF(Inputs!$B$8*Inputs!$B$5=0,0,C26/(Inputs!$B$8*Inputs!$B$5))</f>
        <v/>
      </c>
      <c r="D34" s="23">
        <f>IF(Inputs!$B$8*Inputs!$B$5=0,0,D26/(Inputs!$B$8*Inputs!$B$5))</f>
        <v/>
      </c>
    </row>
    <row r="36">
      <c r="A36" s="21" t="inlineStr">
        <is>
          <t>What you get for the money</t>
        </is>
      </c>
    </row>
    <row r="37">
      <c r="A37" s="4" t="inlineStr">
        <is>
          <t>RM live takeover in the Salesforce console, with history</t>
        </is>
      </c>
      <c r="B37" s="24" t="inlineStr">
        <is>
          <t>Yes</t>
        </is>
      </c>
      <c r="C37" s="24" t="inlineStr">
        <is>
          <t>No (Gupshup inbox)</t>
        </is>
      </c>
      <c r="D37" s="24" t="inlineStr">
        <is>
          <t>Yes</t>
        </is>
      </c>
    </row>
    <row r="38">
      <c r="A38" s="4" t="inlineStr">
        <is>
          <t>Conversation transcript on the customer record</t>
        </is>
      </c>
      <c r="B38" s="24" t="inlineStr">
        <is>
          <t>Yes</t>
        </is>
      </c>
      <c r="C38" s="24" t="inlineStr">
        <is>
          <t>No</t>
        </is>
      </c>
      <c r="D38" s="24" t="inlineStr">
        <is>
          <t>Yes</t>
        </is>
      </c>
    </row>
    <row r="39">
      <c r="A39" s="4" t="inlineStr">
        <is>
          <t>Same WhatsApp number as today</t>
        </is>
      </c>
      <c r="B39" s="24" t="inlineStr">
        <is>
          <t>Yes</t>
        </is>
      </c>
      <c r="C39" s="24" t="inlineStr">
        <is>
          <t>Yes</t>
        </is>
      </c>
      <c r="D39" s="24" t="inlineStr">
        <is>
          <t>No (second number)</t>
        </is>
      </c>
    </row>
    <row r="40">
      <c r="A40" s="4" t="inlineStr">
        <is>
          <t>Vendors in the loan conversation</t>
        </is>
      </c>
      <c r="B40" s="24" t="inlineStr">
        <is>
          <t>2</t>
        </is>
      </c>
      <c r="C40" s="24" t="inlineStr">
        <is>
          <t>2</t>
        </is>
      </c>
      <c r="D40" s="24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5" t="inlineStr">
        <is>
          <t>How to use</t>
        </is>
      </c>
    </row>
    <row r="2">
      <c r="A2" s="26" t="inlineStr">
        <is>
          <t>1. Replace the yellow volumes on Inputs with Kotak's numbers.</t>
        </is>
      </c>
    </row>
    <row r="3">
      <c r="A3" s="26" t="inlineStr">
        <is>
          <t>2. Fill the blue prices from the Salesforce quote (AE / pricing desk), the Gupshup contract and Meta's India rate card.</t>
        </is>
      </c>
    </row>
    <row r="4">
      <c r="A4" s="26" t="inlineStr">
        <is>
          <t>3. Read the totals, the Salesforce / Gupshup / Meta split and the cost per conversation on Comparison.</t>
        </is>
      </c>
    </row>
    <row r="5">
      <c r="A5" s="26" t="inlineStr"/>
    </row>
    <row r="6">
      <c r="A6" s="25" t="inlineStr">
        <is>
          <t>The three options</t>
        </is>
      </c>
    </row>
    <row r="7">
      <c r="A7" s="26" t="inlineStr">
        <is>
          <t>1a  Gupshup keeps the number; loan conversations are forwarded to Salesforce via Bring Your Own Channel. RMs take over in the Salesforce console.</t>
        </is>
      </c>
    </row>
    <row r="8">
      <c r="A8" s="26" t="inlineStr">
        <is>
          <t>1b  Gupshup keeps the number and calls the Agentforce Agent API directly. No Salesforce messaging add-on; human hand-off stays in Gupshup's inbox.</t>
        </is>
      </c>
    </row>
    <row r="9">
      <c r="A9" s="26" t="inlineStr">
        <is>
          <t>2   A second "Kotak Loans" number on Salesforce native WhatsApp. Loan traffic bypasses Gupshup; the main number stays on Gupshup.</t>
        </is>
      </c>
    </row>
    <row r="10">
      <c r="A10" s="26" t="inlineStr"/>
    </row>
    <row r="11">
      <c r="A11" s="25" t="inlineStr">
        <is>
          <t>Assumptions</t>
        </is>
      </c>
    </row>
    <row r="12">
      <c r="A12" s="26" t="inlineStr">
        <is>
          <t>Only the loan journey is modelled. The main number's other traffic (alerts, OTPs, campaigns) and its Gupshup fees are the same in every option, so they are left out.</t>
        </is>
      </c>
    </row>
    <row r="13">
      <c r="A13" s="26" t="inlineStr">
        <is>
          <t>Meta charges per message. Replies inside the 24-hour window after the customer writes are largely free, so only templates (marketing, utility outside the window, authentication) are counted as paid.</t>
        </is>
      </c>
    </row>
    <row r="14">
      <c r="A14" s="26" t="inlineStr">
        <is>
          <t>Agentforce is modelled per action. For per-conversation pricing, set "Agent actions per conversation" to 1 and enter the per-conversation price.</t>
        </is>
      </c>
    </row>
    <row r="15">
      <c r="A15" s="26" t="inlineStr">
        <is>
          <t>Licence names, metering and Meta rates change; confirm the current SKUs and prices before sharing figures with Kotak.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2026-10-08T06:17:34Z</dcterms:created>
  <dcterms:modified xmlns:dcterms="http://purl.org/dc/terms/" xmlns:xsi="http://www.w3.org/2001/XMLSchema-instance" xsi:type="dcterms:W3CDTF">2026-10-08T06:17:34Z</dcterms:modified>
</cp:coreProperties>
</file>